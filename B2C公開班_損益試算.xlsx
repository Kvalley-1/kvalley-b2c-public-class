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算工具" sheetId="1" state="visible" r:id="rId1"/>
    <sheet xmlns:r="http://schemas.openxmlformats.org/officeDocument/2006/relationships" name="定價對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12">
    <font>
      <name val="Calibri"/>
      <family val="2"/>
      <color theme="1"/>
      <sz val="11"/>
      <scheme val="minor"/>
    </font>
    <font>
      <name val="PingFang TC"/>
      <b val="1"/>
      <color rgb="00FFFFFF"/>
      <sz val="15"/>
    </font>
    <font>
      <name val="PingFang TC"/>
      <i val="1"/>
      <color rgb="00606060"/>
      <sz val="9"/>
    </font>
    <font>
      <name val="PingFang TC"/>
      <b val="1"/>
      <color rgb="001F3A5F"/>
      <sz val="13"/>
    </font>
    <font>
      <name val="PingFang TC"/>
      <b val="1"/>
      <color rgb="00B8860B"/>
      <sz val="14"/>
    </font>
    <font>
      <name val="PingFang TC"/>
      <b val="1"/>
      <color rgb="001F3A5F"/>
      <sz val="12"/>
    </font>
    <font>
      <name val="PingFang TC"/>
      <b val="1"/>
      <color rgb="00FFFFFF"/>
      <sz val="11"/>
    </font>
    <font>
      <name val="PingFang TC"/>
      <color rgb="002C2C2C"/>
      <sz val="11"/>
    </font>
    <font>
      <name val="PingFang TC"/>
      <b val="1"/>
      <color rgb="00B8860B"/>
      <sz val="11"/>
    </font>
    <font>
      <name val="PingFang TC"/>
      <b val="1"/>
      <color rgb="002D6A4F"/>
      <sz val="11"/>
    </font>
    <font>
      <name val="PingFang TC"/>
      <b val="1"/>
      <color rgb="001F3A5F"/>
      <sz val="11"/>
    </font>
    <font>
      <name val="PingFang TC"/>
      <b val="1"/>
      <color rgb="002D6A4F"/>
      <sz val="13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7"/>
      </patternFill>
    </fill>
    <fill>
      <patternFill patternType="solid">
        <fgColor rgb="00FFF8E1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1"/>
    </xf>
    <xf numFmtId="0" fontId="4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indent="1"/>
    </xf>
    <xf numFmtId="3" fontId="9" fillId="5" borderId="1" applyAlignment="1" pivotButton="0" quotePrefix="0" xfId="0">
      <alignment horizontal="right" vertical="center" indent="1"/>
    </xf>
    <xf numFmtId="3" fontId="8" fillId="4" borderId="1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right" vertical="center" indent="1"/>
    </xf>
    <xf numFmtId="164" fontId="11" fillId="5" borderId="1" applyAlignment="1" pivotButton="0" quotePrefix="0" xfId="0">
      <alignment horizontal="right" vertical="center" indent="1"/>
    </xf>
    <xf numFmtId="0" fontId="9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 indent="1"/>
    </xf>
    <xf numFmtId="1" fontId="8" fillId="4" borderId="1" applyAlignment="1" pivotButton="0" quotePrefix="0" xfId="0">
      <alignment horizontal="right" vertical="center" indent="1"/>
    </xf>
    <xf numFmtId="0" fontId="2" fillId="0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right" vertical="center" indent="1"/>
    </xf>
    <xf numFmtId="1" fontId="9" fillId="5" borderId="1" applyAlignment="1" pivotButton="0" quotePrefix="0" xfId="0">
      <alignment horizontal="right" vertical="center" indent="1"/>
    </xf>
    <xf numFmtId="0" fontId="7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 indent="1"/>
    </xf>
    <xf numFmtId="164" fontId="7" fillId="0" borderId="1" applyAlignment="1" pivotButton="0" quotePrefix="0" xfId="0">
      <alignment horizontal="right" vertical="center" indent="1"/>
    </xf>
    <xf numFmtId="0" fontId="10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0" customWidth="1" min="5" max="5"/>
    <col width="26" customWidth="1" min="6" max="6"/>
    <col width="16" customWidth="1" min="7" max="7"/>
    <col width="14" customWidth="1" min="8" max="8"/>
    <col width="14" customWidth="1" min="9" max="9"/>
  </cols>
  <sheetData>
    <row r="1" ht="38" customHeight="1">
      <c r="A1" s="1" t="inlineStr">
        <is>
          <t>B2C 公開班　損益試算</t>
        </is>
      </c>
    </row>
    <row r="2" ht="20" customHeight="1">
      <c r="A2" s="2" t="inlineStr">
        <is>
          <t>黃色＝可調整參數　　綠色＝自動計算結果　　下拉選單一鍵套用情境</t>
        </is>
      </c>
    </row>
    <row r="3" ht="34" customHeight="1">
      <c r="A3" s="3" t="inlineStr">
        <is>
          <t>▼ 情境快速套用</t>
        </is>
      </c>
      <c r="C3" s="4" t="inlineStr">
        <is>
          <t>保守</t>
        </is>
      </c>
    </row>
    <row r="5" ht="26" customHeight="1">
      <c r="A5" s="5" t="inlineStr">
        <is>
          <t>① 票價參數</t>
        </is>
      </c>
      <c r="F5" s="5" t="inlineStr">
        <is>
          <t>③ 單場損益</t>
        </is>
      </c>
    </row>
    <row r="6" ht="24" customHeight="1">
      <c r="A6" s="6" t="inlineStr">
        <is>
          <t>票種</t>
        </is>
      </c>
      <c r="B6" s="6" t="inlineStr">
        <is>
          <t>單價（智谷實拿）</t>
        </is>
      </c>
      <c r="C6" s="6" t="inlineStr">
        <is>
          <t>名額/場</t>
        </is>
      </c>
      <c r="D6" s="7" t="n"/>
      <c r="F6" s="8" t="inlineStr">
        <is>
          <t>單場票房收入</t>
        </is>
      </c>
      <c r="G6" s="9">
        <f>B7*C7+B8*C8+B9*C9+B10*C10</f>
        <v/>
      </c>
      <c r="H6" s="7" t="n"/>
      <c r="I6" s="7" t="n"/>
    </row>
    <row r="7" ht="24" customHeight="1">
      <c r="A7" s="8" t="inlineStr">
        <is>
          <t>公協會通道</t>
        </is>
      </c>
      <c r="B7" s="10" t="n">
        <v>6000</v>
      </c>
      <c r="C7" s="11">
        <f>VLOOKUP($C$3,$A$30:$E$34,2,FALSE)</f>
        <v/>
      </c>
      <c r="D7" s="7" t="n"/>
      <c r="F7" s="8" t="inlineStr">
        <is>
          <t>單場總成本</t>
        </is>
      </c>
      <c r="G7" s="9">
        <f>B24+B25*C11</f>
        <v/>
      </c>
      <c r="H7" s="7" t="n"/>
      <c r="I7" s="7" t="n"/>
    </row>
    <row r="8" ht="28" customHeight="1">
      <c r="A8" s="8" t="inlineStr">
        <is>
          <t>商會（早鳥 -500）</t>
        </is>
      </c>
      <c r="B8" s="10" t="n">
        <v>6500</v>
      </c>
      <c r="C8" s="11">
        <f>VLOOKUP($C$3,$A$30:$E$34,3,FALSE)</f>
        <v/>
      </c>
      <c r="D8" s="7" t="n"/>
      <c r="F8" s="8" t="inlineStr">
        <is>
          <t>單場毛利</t>
        </is>
      </c>
      <c r="G8" s="12">
        <f>G6-G7</f>
        <v/>
      </c>
      <c r="H8" s="7" t="n"/>
      <c r="I8" s="7" t="n"/>
    </row>
    <row r="9" ht="28" customHeight="1">
      <c r="A9" s="8" t="inlineStr">
        <is>
          <t>早鳥（限名額）</t>
        </is>
      </c>
      <c r="B9" s="10" t="n">
        <v>7000</v>
      </c>
      <c r="C9" s="11">
        <f>VLOOKUP($C$3,$A$30:$E$34,4,FALSE)</f>
        <v/>
      </c>
      <c r="D9" s="7" t="n"/>
      <c r="F9" s="8" t="inlineStr">
        <is>
          <t>單場毛利率</t>
        </is>
      </c>
      <c r="G9" s="13">
        <f>IFERROR(G8/G6,0)</f>
        <v/>
      </c>
      <c r="H9" s="7" t="n"/>
      <c r="I9" s="7" t="n"/>
    </row>
    <row r="10" ht="22" customHeight="1">
      <c r="A10" s="8" t="inlineStr">
        <is>
          <t>原價</t>
        </is>
      </c>
      <c r="B10" s="10" t="n">
        <v>8000</v>
      </c>
      <c r="C10" s="11">
        <f>VLOOKUP($C$3,$A$30:$E$34,5,FALSE)</f>
        <v/>
      </c>
      <c r="D10" s="7" t="n"/>
    </row>
    <row r="11" ht="26" customHeight="1">
      <c r="A11" s="14" t="inlineStr">
        <is>
          <t>合計（總人數）</t>
        </is>
      </c>
      <c r="B11" s="15" t="inlineStr"/>
      <c r="C11" s="16">
        <f>C7+C8+C9+C10</f>
        <v/>
      </c>
      <c r="D11" s="7" t="n"/>
      <c r="F11" s="5" t="inlineStr">
        <is>
          <t>④ 班數試算</t>
        </is>
      </c>
    </row>
    <row r="12" ht="22" customHeight="1">
      <c r="F12" s="8" t="inlineStr">
        <is>
          <t>目標營收</t>
        </is>
      </c>
      <c r="G12" s="10" t="n">
        <v>1000000</v>
      </c>
      <c r="H12" s="7" t="n"/>
      <c r="I12" s="7" t="n"/>
    </row>
    <row r="13" ht="22" customHeight="1">
      <c r="A13" s="17" t="inlineStr">
        <is>
          <t>↳ 公協會抽成試算（不影響毛利）</t>
        </is>
      </c>
      <c r="F13" s="8" t="inlineStr">
        <is>
          <t>預計開幾班</t>
        </is>
      </c>
      <c r="G13" s="18" t="n">
        <v>10</v>
      </c>
      <c r="H13" s="7" t="n"/>
      <c r="I13" s="7" t="n"/>
    </row>
    <row r="14" ht="28" customHeight="1">
      <c r="A14" s="8" t="inlineStr">
        <is>
          <t>公協會學員賣價</t>
        </is>
      </c>
      <c r="B14" s="10" t="n">
        <v>7000</v>
      </c>
      <c r="C14" s="19" t="inlineStr">
        <is>
          <t>他賣多少給會員</t>
        </is>
      </c>
      <c r="D14" s="7" t="n"/>
      <c r="F14" s="8" t="inlineStr">
        <is>
          <t>總營收（班數 × 單場票房）</t>
        </is>
      </c>
      <c r="G14" s="12">
        <f>G6*G13</f>
        <v/>
      </c>
      <c r="H14" s="7" t="n"/>
      <c r="I14" s="7" t="n"/>
    </row>
    <row r="15" ht="28" customHeight="1">
      <c r="A15" s="8" t="inlineStr">
        <is>
          <t>公協會賺（= 賣價 - 智谷）</t>
        </is>
      </c>
      <c r="B15" s="9">
        <f>B14-B7</f>
        <v/>
      </c>
      <c r="C15" s="20">
        <f>IFERROR((B14-B7)/B14,0)</f>
        <v/>
      </c>
      <c r="F15" s="8" t="inlineStr">
        <is>
          <t>總毛利</t>
        </is>
      </c>
      <c r="G15" s="12">
        <f>G8*G13</f>
        <v/>
      </c>
      <c r="H15" s="7" t="n"/>
      <c r="I15" s="7" t="n"/>
    </row>
    <row r="16" ht="24" customHeight="1">
      <c r="F16" s="8" t="inlineStr">
        <is>
          <t>達目標差額</t>
        </is>
      </c>
      <c r="G16" s="21">
        <f>G14-G12</f>
        <v/>
      </c>
      <c r="H16" s="7" t="n"/>
      <c r="I16" s="7" t="n"/>
    </row>
    <row r="17" ht="24" customHeight="1">
      <c r="A17" s="5" t="inlineStr">
        <is>
          <t>② 單場成本參數</t>
        </is>
      </c>
      <c r="F17" s="8" t="inlineStr">
        <is>
          <t>達目標需開幾班</t>
        </is>
      </c>
      <c r="G17" s="22">
        <f>IFERROR(ROUNDUP(G12/G6,0),0)</f>
        <v/>
      </c>
      <c r="H17" s="7" t="n"/>
      <c r="I17" s="7" t="n"/>
    </row>
    <row r="18" ht="22" customHeight="1">
      <c r="A18" s="8" t="inlineStr">
        <is>
          <t>Dennis 群課（4,725 × 2hr）</t>
        </is>
      </c>
      <c r="B18" s="10" t="n">
        <v>9450</v>
      </c>
      <c r="C18" s="7" t="n"/>
      <c r="D18" s="7" t="n"/>
    </row>
    <row r="19" ht="22" customHeight="1">
      <c r="A19" s="8" t="inlineStr">
        <is>
          <t>助教</t>
        </is>
      </c>
      <c r="B19" s="10" t="n">
        <v>2000</v>
      </c>
      <c r="C19" s="7" t="n"/>
      <c r="D19" s="7" t="n"/>
    </row>
    <row r="20" ht="22" customHeight="1">
      <c r="A20" s="8" t="inlineStr">
        <is>
          <t>行政費</t>
        </is>
      </c>
      <c r="B20" s="10" t="n">
        <v>3000</v>
      </c>
      <c r="C20" s="7" t="n"/>
      <c r="D20" s="7" t="n"/>
    </row>
    <row r="21" ht="22" customHeight="1">
      <c r="A21" s="8" t="inlineStr">
        <is>
          <t>場地</t>
        </is>
      </c>
      <c r="B21" s="10" t="n">
        <v>4000</v>
      </c>
      <c r="C21" s="7" t="n"/>
      <c r="D21" s="7" t="n"/>
    </row>
    <row r="22" ht="22" customHeight="1">
      <c r="A22" s="8" t="inlineStr">
        <is>
          <t>行銷</t>
        </is>
      </c>
      <c r="B22" s="10" t="n">
        <v>5000</v>
      </c>
      <c r="C22" s="7" t="n"/>
      <c r="D22" s="7" t="n"/>
    </row>
    <row r="23" ht="22" customHeight="1">
      <c r="A23" s="8" t="inlineStr">
        <is>
          <t>卡牌攤分擔（4 套 2,200 ÷ 5）</t>
        </is>
      </c>
      <c r="B23" s="10" t="n">
        <v>440</v>
      </c>
      <c r="C23" s="7" t="n"/>
      <c r="D23" s="7" t="n"/>
    </row>
    <row r="24" ht="24" customHeight="1">
      <c r="A24" s="14" t="inlineStr">
        <is>
          <t>固定成本小計</t>
        </is>
      </c>
      <c r="B24" s="9">
        <f>SUM(B18:B23)</f>
        <v/>
      </c>
      <c r="C24" s="7" t="n"/>
      <c r="D24" s="7" t="n"/>
    </row>
    <row r="25" ht="22" customHeight="1">
      <c r="A25" s="8" t="inlineStr">
        <is>
          <t>一對一個輔（1,200 × 2hr × 人數）</t>
        </is>
      </c>
      <c r="B25" s="10" t="n">
        <v>2400</v>
      </c>
      <c r="C25" s="7" t="n"/>
      <c r="D25" s="7" t="n"/>
    </row>
    <row r="28" ht="26" customHeight="1">
      <c r="A28" s="5" t="inlineStr">
        <is>
          <t>⑤ 情境配置表（改上方下拉選單即套用；想自訂直接打進 ① 名額欄）</t>
        </is>
      </c>
    </row>
    <row r="29" ht="24" customHeight="1">
      <c r="A29" s="6" t="inlineStr">
        <is>
          <t>情境</t>
        </is>
      </c>
      <c r="B29" s="6" t="inlineStr">
        <is>
          <t>公協會</t>
        </is>
      </c>
      <c r="C29" s="6" t="inlineStr">
        <is>
          <t>商會</t>
        </is>
      </c>
      <c r="D29" s="6" t="inlineStr">
        <is>
          <t>早鳥</t>
        </is>
      </c>
      <c r="E29" s="6" t="inlineStr">
        <is>
          <t>原價</t>
        </is>
      </c>
      <c r="F29" s="6" t="inlineStr">
        <is>
          <t>滿班</t>
        </is>
      </c>
      <c r="G29" s="6" t="inlineStr">
        <is>
          <t>單場票房</t>
        </is>
      </c>
      <c r="H29" s="6" t="inlineStr">
        <is>
          <t>單場毛利</t>
        </is>
      </c>
      <c r="I29" s="6" t="inlineStr">
        <is>
          <t>毛利率</t>
        </is>
      </c>
    </row>
    <row r="30" ht="22" customHeight="1">
      <c r="A30" s="8" t="inlineStr">
        <is>
          <t>樂觀</t>
        </is>
      </c>
      <c r="B30" s="23" t="n">
        <v>0</v>
      </c>
      <c r="C30" s="23" t="n">
        <v>0</v>
      </c>
      <c r="D30" s="23" t="n">
        <v>9</v>
      </c>
      <c r="E30" s="23" t="n">
        <v>6</v>
      </c>
      <c r="F30" s="23" t="n">
        <v>15</v>
      </c>
      <c r="G30" s="24" t="n">
        <v>111000</v>
      </c>
      <c r="H30" s="24" t="n">
        <v>51110</v>
      </c>
      <c r="I30" s="25" t="n">
        <v>0.4604504504504505</v>
      </c>
    </row>
    <row r="31" ht="22" customHeight="1">
      <c r="A31" s="8" t="inlineStr">
        <is>
          <t>中性</t>
        </is>
      </c>
      <c r="B31" s="23" t="n">
        <v>2</v>
      </c>
      <c r="C31" s="23" t="n">
        <v>3</v>
      </c>
      <c r="D31" s="23" t="n">
        <v>4</v>
      </c>
      <c r="E31" s="23" t="n">
        <v>6</v>
      </c>
      <c r="F31" s="23" t="n">
        <v>15</v>
      </c>
      <c r="G31" s="24" t="n">
        <v>107500</v>
      </c>
      <c r="H31" s="24" t="n">
        <v>47610</v>
      </c>
      <c r="I31" s="25" t="n">
        <v>0.4428837209302325</v>
      </c>
    </row>
    <row r="32" ht="22" customHeight="1">
      <c r="A32" s="26" t="inlineStr">
        <is>
          <t>保守</t>
        </is>
      </c>
      <c r="B32" s="23" t="n">
        <v>3</v>
      </c>
      <c r="C32" s="23" t="n">
        <v>3</v>
      </c>
      <c r="D32" s="23" t="n">
        <v>3</v>
      </c>
      <c r="E32" s="23" t="n">
        <v>6</v>
      </c>
      <c r="F32" s="23" t="n">
        <v>15</v>
      </c>
      <c r="G32" s="24" t="n">
        <v>106500</v>
      </c>
      <c r="H32" s="24" t="n">
        <v>46610</v>
      </c>
      <c r="I32" s="25" t="n">
        <v>0.4376525821596244</v>
      </c>
    </row>
    <row r="33" ht="22" customHeight="1">
      <c r="A33" s="8" t="inlineStr">
        <is>
          <t>悲觀</t>
        </is>
      </c>
      <c r="B33" s="23" t="n">
        <v>6</v>
      </c>
      <c r="C33" s="23" t="n">
        <v>0</v>
      </c>
      <c r="D33" s="23" t="n">
        <v>3</v>
      </c>
      <c r="E33" s="23" t="n">
        <v>6</v>
      </c>
      <c r="F33" s="23" t="n">
        <v>15</v>
      </c>
      <c r="G33" s="24" t="n">
        <v>105000</v>
      </c>
      <c r="H33" s="24" t="n">
        <v>45110</v>
      </c>
      <c r="I33" s="25" t="n">
        <v>0.4296190476190476</v>
      </c>
    </row>
    <row r="34" ht="22" customHeight="1">
      <c r="A34" s="8" t="inlineStr">
        <is>
          <t>最悲觀</t>
        </is>
      </c>
      <c r="B34" s="23" t="n">
        <v>15</v>
      </c>
      <c r="C34" s="23" t="n">
        <v>0</v>
      </c>
      <c r="D34" s="23" t="n">
        <v>0</v>
      </c>
      <c r="E34" s="23" t="n">
        <v>0</v>
      </c>
      <c r="F34" s="23" t="n">
        <v>15</v>
      </c>
      <c r="G34" s="24" t="n">
        <v>90000</v>
      </c>
      <c r="H34" s="24" t="n">
        <v>30110</v>
      </c>
      <c r="I34" s="25" t="n">
        <v>0.3345555555555556</v>
      </c>
    </row>
  </sheetData>
  <mergeCells count="36">
    <mergeCell ref="A5:D5"/>
    <mergeCell ref="A17:D17"/>
    <mergeCell ref="C6:D6"/>
    <mergeCell ref="G6:I6"/>
    <mergeCell ref="C15:D15"/>
    <mergeCell ref="B23:D23"/>
    <mergeCell ref="G13:I13"/>
    <mergeCell ref="C14:D14"/>
    <mergeCell ref="A13:D13"/>
    <mergeCell ref="G15:I15"/>
    <mergeCell ref="B19:D19"/>
    <mergeCell ref="A2:I2"/>
    <mergeCell ref="C10:D10"/>
    <mergeCell ref="G14:I14"/>
    <mergeCell ref="F11:I11"/>
    <mergeCell ref="C9:D9"/>
    <mergeCell ref="A3:B3"/>
    <mergeCell ref="B24:D24"/>
    <mergeCell ref="B20:D20"/>
    <mergeCell ref="G16:I16"/>
    <mergeCell ref="A28:I28"/>
    <mergeCell ref="C11:D11"/>
    <mergeCell ref="G9:I9"/>
    <mergeCell ref="G12:I12"/>
    <mergeCell ref="F5:I5"/>
    <mergeCell ref="B25:D25"/>
    <mergeCell ref="C8:D8"/>
    <mergeCell ref="C7:D7"/>
    <mergeCell ref="B22:D22"/>
    <mergeCell ref="G7:I7"/>
    <mergeCell ref="A1:I1"/>
    <mergeCell ref="B18:D18"/>
    <mergeCell ref="G8:I8"/>
    <mergeCell ref="B21:D21"/>
    <mergeCell ref="G17:I17"/>
    <mergeCell ref="C3:D3"/>
  </mergeCells>
  <dataValidations count="1">
    <dataValidation sqref="C3" showDropDown="0" showInputMessage="0" showErrorMessage="0" allowBlank="1" type="list">
      <formula1>$A$30:$A$34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44" customWidth="1" min="4" max="4"/>
  </cols>
  <sheetData>
    <row r="1" ht="36" customHeight="1">
      <c r="A1" s="1" t="inlineStr">
        <is>
          <t>B2C 公開班　定價對照表（v2 拍板版）</t>
        </is>
      </c>
    </row>
    <row r="3" ht="26" customHeight="1">
      <c r="A3" s="5" t="inlineStr">
        <is>
          <t>B2C 兩階段</t>
        </is>
      </c>
    </row>
    <row r="4" ht="24" customHeight="1">
      <c r="A4" s="6" t="inlineStr">
        <is>
          <t>項目</t>
        </is>
      </c>
      <c r="B4" s="6" t="inlineStr">
        <is>
          <t>單價</t>
        </is>
      </c>
      <c r="C4" s="6" t="inlineStr">
        <is>
          <t>名額</t>
        </is>
      </c>
      <c r="D4" s="6" t="inlineStr">
        <is>
          <t>備註</t>
        </is>
      </c>
    </row>
    <row r="5" ht="22" customHeight="1">
      <c r="A5" s="8" t="inlineStr">
        <is>
          <t>早鳥（限名額）</t>
        </is>
      </c>
      <c r="B5" s="23" t="inlineStr">
        <is>
          <t>NT$7,000</t>
        </is>
      </c>
      <c r="C5" s="23" t="inlineStr">
        <is>
          <t>前 9 人</t>
        </is>
      </c>
      <c r="D5" s="8" t="inlineStr">
        <is>
          <t>9 × 7,000 ≈ 打平固定+變動</t>
        </is>
      </c>
    </row>
    <row r="6" ht="22" customHeight="1">
      <c r="A6" s="8" t="inlineStr">
        <is>
          <t>原價</t>
        </is>
      </c>
      <c r="B6" s="23" t="inlineStr">
        <is>
          <t>NT$8,000</t>
        </is>
      </c>
      <c r="C6" s="23" t="inlineStr">
        <is>
          <t>後 6 人</t>
        </is>
      </c>
      <c r="D6" s="8" t="inlineStr">
        <is>
          <t>全是毛利</t>
        </is>
      </c>
    </row>
    <row r="8" ht="26" customHeight="1">
      <c r="A8" s="5" t="inlineStr">
        <is>
          <t>公協會通道</t>
        </is>
      </c>
    </row>
    <row r="9" ht="24" customHeight="1">
      <c r="A9" s="6" t="inlineStr">
        <is>
          <t>項目</t>
        </is>
      </c>
      <c r="B9" s="6" t="inlineStr">
        <is>
          <t>單價</t>
        </is>
      </c>
      <c r="C9" s="6" t="inlineStr">
        <is>
          <t>名額</t>
        </is>
      </c>
      <c r="D9" s="6" t="inlineStr">
        <is>
          <t>備註</t>
        </is>
      </c>
    </row>
    <row r="10" ht="22" customHeight="1">
      <c r="A10" s="8" t="inlineStr">
        <is>
          <t>公協會推廣管道</t>
        </is>
      </c>
      <c r="B10" s="23" t="inlineStr">
        <is>
          <t>NT$6,000</t>
        </is>
      </c>
      <c r="C10" s="23" t="inlineStr">
        <is>
          <t>—</t>
        </is>
      </c>
      <c r="D10" s="8" t="inlineStr">
        <is>
          <t>智谷實拿；學員實付由公協會自定；機械同業工會 / TAIA 等</t>
        </is>
      </c>
    </row>
    <row r="12" ht="26" customHeight="1">
      <c r="A12" s="5" t="inlineStr">
        <is>
          <t>商會通道</t>
        </is>
      </c>
    </row>
    <row r="13" ht="24" customHeight="1">
      <c r="A13" s="6" t="inlineStr">
        <is>
          <t>項目</t>
        </is>
      </c>
      <c r="B13" s="6" t="inlineStr">
        <is>
          <t>單價</t>
        </is>
      </c>
      <c r="C13" s="6" t="inlineStr">
        <is>
          <t>名額</t>
        </is>
      </c>
      <c r="D13" s="6" t="inlineStr">
        <is>
          <t>備註</t>
        </is>
      </c>
    </row>
    <row r="14" ht="22" customHeight="1">
      <c r="A14" s="8" t="inlineStr">
        <is>
          <t>商會員（BNI / 建研會 / 青商 / CYA）</t>
        </is>
      </c>
      <c r="B14" s="23" t="inlineStr">
        <is>
          <t>NT$6,500</t>
        </is>
      </c>
      <c r="C14" s="23" t="inlineStr">
        <is>
          <t>—</t>
        </is>
      </c>
      <c r="D14" s="8" t="inlineStr">
        <is>
          <t>早鳥 -500、脈絡口碑；純友情、不抽成</t>
        </is>
      </c>
    </row>
    <row r="16" ht="26" customHeight="1">
      <c r="A16" s="5" t="inlineStr">
        <is>
          <t>B2B 派訓套票</t>
        </is>
      </c>
    </row>
    <row r="17" ht="24" customHeight="1">
      <c r="A17" s="6" t="inlineStr">
        <is>
          <t>項目</t>
        </is>
      </c>
      <c r="B17" s="6" t="inlineStr">
        <is>
          <t>單價</t>
        </is>
      </c>
      <c r="C17" s="6" t="inlineStr">
        <is>
          <t>名額</t>
        </is>
      </c>
      <c r="D17" s="6" t="inlineStr">
        <is>
          <t>備註</t>
        </is>
      </c>
    </row>
    <row r="18" ht="22" customHeight="1">
      <c r="A18" s="8" t="inlineStr">
        <is>
          <t>3 人套票</t>
        </is>
      </c>
      <c r="B18" s="23" t="inlineStr">
        <is>
          <t>NT$21,000</t>
        </is>
      </c>
      <c r="C18" s="23" t="inlineStr">
        <is>
          <t>人均 7,000</t>
        </is>
      </c>
      <c r="D18" s="8" t="inlineStr">
        <is>
          <t>+ 企業 AI 診斷</t>
        </is>
      </c>
    </row>
    <row r="19" ht="22" customHeight="1">
      <c r="A19" s="8" t="inlineStr">
        <is>
          <t>5 人套票</t>
        </is>
      </c>
      <c r="B19" s="23" t="inlineStr">
        <is>
          <t>NT$32,500</t>
        </is>
      </c>
      <c r="C19" s="23" t="inlineStr">
        <is>
          <t>人均 6,500</t>
        </is>
      </c>
      <c r="D19" s="8" t="inlineStr">
        <is>
          <t>+ 企業 AI 診斷</t>
        </is>
      </c>
    </row>
  </sheetData>
  <mergeCells count="5">
    <mergeCell ref="A1:D1"/>
    <mergeCell ref="A8:D8"/>
    <mergeCell ref="A12:D12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2026-05-19T07:25:07Z</dcterms:created>
  <dcterms:modified xmlns:dcterms="http://purl.org/dc/terms/" xmlns:xsi="http://www.w3.org/2001/XMLSchema-instance" xsi:type="dcterms:W3CDTF">2026-05-19T07:25:07Z</dcterms:modified>
</cp:coreProperties>
</file>