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損益試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<sst xmlns="http://schemas.openxmlformats.org/spreadsheetml/2006/main" count="59" uniqueCount="59">
  <si>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r>
      <rPr>
        <b val="true"/>
        <sz val="14"/>
        <rFont val="Arial"/>
        <family val="0"/>
        <charset val="1"/>
      </rPr>
      <t xml:space="preserve">B2C </t>
    </r>
    <r>
      <rPr>
        <b val="true"/>
        <sz val="14"/>
        <rFont val="MS Gothic"/>
        <family val="2"/>
        <charset val="1"/>
      </rPr>
      <t xml:space="preserve">公開班 損益試算（</t>
    </r>
    <r>
      <rPr>
        <b val="true"/>
        <sz val="14"/>
        <rFont val="Arial"/>
        <family val="0"/>
        <charset val="1"/>
      </rPr>
      <t xml:space="preserve">15 / 18 / 20 </t>
    </r>
    <r>
      <rPr>
        <b val="true"/>
        <sz val="14"/>
        <rFont val="MS Gothic"/>
        <family val="2"/>
        <charset val="1"/>
      </rPr>
      <t xml:space="preserve">人三情境）</t>
    </r>
  </si>
  <si>
    <t xml:space="preserve">早鳥 7,000（→6/23）/ 原價 8,500 / 商會員 6,500 / 公協會 6,000 / B2B 套票人均 6,500-7,000　·　內部檔不外流</t>
  </si>
  <si>
    <t xml:space="preserve">一、假設（藍字可改）</t>
  </si>
  <si>
    <t xml:space="preserve">通路席次混合</t>
  </si>
  <si>
    <t xml:space="preserve">佔比</t>
  </si>
  <si>
    <t xml:space="preserve">均價/人</t>
  </si>
  <si>
    <t xml:space="preserve">加權貢獻</t>
  </si>
  <si>
    <t xml:space="preserve">說明</t>
  </si>
  <si>
    <t xml:space="preserve">散客（早鳥為主+少數原價）</t>
  </si>
  <si>
    <t xml:space="preserve">早鳥7,000+少數原價8,500</t>
  </si>
  <si>
    <t xml:space="preserve">公協會</t>
  </si>
  <si>
    <t xml:space="preserve">智谷實拿</t>
  </si>
  <si>
    <t xml:space="preserve">商會脈絡</t>
  </si>
  <si>
    <t xml:space="preserve">會員價</t>
  </si>
  <si>
    <r>
      <rPr>
        <sz val="11"/>
        <rFont val="Arial"/>
        <family val="0"/>
        <charset val="1"/>
      </rPr>
      <t xml:space="preserve">B2B </t>
    </r>
    <r>
      <rPr>
        <sz val="11"/>
        <rFont val="MS Gothic"/>
        <family val="2"/>
        <charset val="1"/>
      </rPr>
      <t xml:space="preserve">派訓</t>
    </r>
  </si>
  <si>
    <t xml:space="preserve">套票人均6,500-7,000</t>
  </si>
  <si>
    <t xml:space="preserve">加權平均售價/人</t>
  </si>
  <si>
    <t xml:space="preserve">← 均價</t>
  </si>
  <si>
    <t xml:space="preserve">二、成本假設</t>
  </si>
  <si>
    <t xml:space="preserve">變動成本/學員（個輔 1,200×2hr）</t>
  </si>
  <si>
    <t xml:space="preserve">每多 1 人增加的個輔成本</t>
  </si>
  <si>
    <t xml:space="preserve">固定成本明細（15 人基準）</t>
  </si>
  <si>
    <r>
      <rPr>
        <sz val="11"/>
        <rFont val="Arial"/>
        <family val="0"/>
        <charset val="1"/>
      </rPr>
      <t xml:space="preserve">Dennis </t>
    </r>
    <r>
      <rPr>
        <sz val="11"/>
        <rFont val="MS Gothic"/>
        <family val="2"/>
        <charset val="1"/>
      </rPr>
      <t xml:space="preserve">群課（</t>
    </r>
    <r>
      <rPr>
        <sz val="11"/>
        <rFont val="Arial"/>
        <family val="0"/>
        <charset val="1"/>
      </rPr>
      <t xml:space="preserve">4,725×2hr</t>
    </r>
    <r>
      <rPr>
        <sz val="11"/>
        <rFont val="MS Gothic"/>
        <family val="2"/>
        <charset val="1"/>
      </rPr>
      <t xml:space="preserve">）</t>
    </r>
  </si>
  <si>
    <t xml:space="preserve">助教</t>
  </si>
  <si>
    <t xml:space="preserve">行政費</t>
  </si>
  <si>
    <t xml:space="preserve">場地（15人）</t>
  </si>
  <si>
    <t xml:space="preserve">行銷</t>
  </si>
  <si>
    <t xml:space="preserve">卡牌攤提（4套2,200÷5場）</t>
  </si>
  <si>
    <t xml:space="preserve">固定成本小計（15人）</t>
  </si>
  <si>
    <t xml:space="preserve">場地加碼（18人，較大場地）</t>
  </si>
  <si>
    <t xml:space="preserve">場地+講師加碼（20人，+1講師+1助教）</t>
  </si>
  <si>
    <t xml:space="preserve">目標營收</t>
  </si>
  <si>
    <r>
      <rPr>
        <sz val="9"/>
        <color rgb="FF737373"/>
        <rFont val="Arial"/>
        <family val="0"/>
        <charset val="1"/>
      </rPr>
      <t xml:space="preserve">10 </t>
    </r>
    <r>
      <rPr>
        <sz val="9"/>
        <color rgb="FF737373"/>
        <rFont val="MS Gothic"/>
        <family val="2"/>
        <charset val="1"/>
      </rPr>
      <t xml:space="preserve">月底前</t>
    </r>
  </si>
  <si>
    <t xml:space="preserve">營業稅率（內含）</t>
  </si>
  <si>
    <t xml:space="preserve">售價內含，稅基 = 營收 ÷ 1.05</t>
  </si>
  <si>
    <t xml:space="preserve">三、三情境損益（滿座基準）</t>
  </si>
  <si>
    <t xml:space="preserve">項目</t>
  </si>
  <si>
    <r>
      <rPr>
        <b val="true"/>
        <sz val="11"/>
        <rFont val="Arial"/>
        <family val="0"/>
        <charset val="1"/>
      </rPr>
      <t xml:space="preserve">15 </t>
    </r>
    <r>
      <rPr>
        <b val="true"/>
        <sz val="11"/>
        <rFont val="MS Gothic"/>
        <family val="2"/>
        <charset val="1"/>
      </rPr>
      <t xml:space="preserve">人</t>
    </r>
  </si>
  <si>
    <r>
      <rPr>
        <b val="true"/>
        <sz val="11"/>
        <rFont val="Arial"/>
        <family val="0"/>
        <charset val="1"/>
      </rPr>
      <t xml:space="preserve">18 </t>
    </r>
    <r>
      <rPr>
        <b val="true"/>
        <sz val="11"/>
        <rFont val="MS Gothic"/>
        <family val="2"/>
        <charset val="1"/>
      </rPr>
      <t xml:space="preserve">人 ★建議</t>
    </r>
  </si>
  <si>
    <r>
      <rPr>
        <b val="true"/>
        <sz val="11"/>
        <rFont val="Arial"/>
        <family val="0"/>
        <charset val="1"/>
      </rPr>
      <t xml:space="preserve">20 </t>
    </r>
    <r>
      <rPr>
        <b val="true"/>
        <sz val="11"/>
        <rFont val="MS Gothic"/>
        <family val="2"/>
        <charset val="1"/>
      </rPr>
      <t xml:space="preserve">人</t>
    </r>
  </si>
  <si>
    <t xml:space="preserve">滿座人數</t>
  </si>
  <si>
    <t xml:space="preserve">每場營收</t>
  </si>
  <si>
    <t xml:space="preserve">人數 × 均價</t>
  </si>
  <si>
    <t xml:space="preserve">固定成本/場</t>
  </si>
  <si>
    <t xml:space="preserve">變動成本/場</t>
  </si>
  <si>
    <t xml:space="preserve">人數 × 2,400</t>
  </si>
  <si>
    <t xml:space="preserve">每場總成本</t>
  </si>
  <si>
    <t xml:space="preserve">營業稅/場（內含）</t>
  </si>
  <si>
    <t xml:space="preserve">內含稅：營收 ÷ 1.05 × 5%</t>
  </si>
  <si>
    <t xml:space="preserve">每場毛利</t>
  </si>
  <si>
    <t xml:space="preserve">毛利率</t>
  </si>
  <si>
    <t xml:space="preserve">達標 100 萬需開場次</t>
  </si>
  <si>
    <t xml:space="preserve">無條件進位</t>
  </si>
  <si>
    <t xml:space="preserve">開 10 場總營收</t>
  </si>
  <si>
    <t xml:space="preserve">開 10 場總毛利</t>
  </si>
  <si>
    <t xml:space="preserve">四、結論</t>
  </si>
  <si>
    <r>
      <rPr>
        <sz val="10"/>
        <rFont val="Arial"/>
        <family val="0"/>
        <charset val="1"/>
      </rPr>
      <t xml:space="preserve">• 15 </t>
    </r>
    <r>
      <rPr>
        <sz val="10"/>
        <rFont val="MS Gothic"/>
        <family val="2"/>
        <charset val="1"/>
      </rPr>
      <t xml:space="preserve">人：</t>
    </r>
    <r>
      <rPr>
        <sz val="10"/>
        <rFont val="Arial"/>
        <family val="0"/>
        <charset val="1"/>
      </rPr>
      <t xml:space="preserve">10 </t>
    </r>
    <r>
      <rPr>
        <sz val="10"/>
        <rFont val="MS Gothic"/>
        <family val="2"/>
        <charset val="1"/>
      </rPr>
      <t xml:space="preserve">場剛好壓線 </t>
    </r>
    <r>
      <rPr>
        <sz val="10"/>
        <rFont val="Arial"/>
        <family val="0"/>
        <charset val="1"/>
      </rPr>
      <t xml:space="preserve">100 </t>
    </r>
    <r>
      <rPr>
        <sz val="10"/>
        <rFont val="MS Gothic"/>
        <family val="2"/>
        <charset val="1"/>
      </rPr>
      <t xml:space="preserve">萬、零 </t>
    </r>
    <r>
      <rPr>
        <sz val="10"/>
        <rFont val="Arial"/>
        <family val="0"/>
        <charset val="1"/>
      </rPr>
      <t xml:space="preserve">buffer</t>
    </r>
    <r>
      <rPr>
        <sz val="10"/>
        <rFont val="MS Gothic"/>
        <family val="2"/>
        <charset val="1"/>
      </rPr>
      <t xml:space="preserve">，每場都要滿，太緊</t>
    </r>
  </si>
  <si>
    <r>
      <rPr>
        <sz val="10"/>
        <rFont val="Arial"/>
        <family val="0"/>
        <charset val="1"/>
      </rPr>
      <t xml:space="preserve">• 18 </t>
    </r>
    <r>
      <rPr>
        <sz val="10"/>
        <rFont val="MS Gothic"/>
        <family val="2"/>
        <charset val="1"/>
      </rPr>
      <t xml:space="preserve">人（建議基準）：</t>
    </r>
    <r>
      <rPr>
        <sz val="10"/>
        <rFont val="Arial"/>
        <family val="0"/>
        <charset val="1"/>
      </rPr>
      <t xml:space="preserve">10 </t>
    </r>
    <r>
      <rPr>
        <sz val="10"/>
        <rFont val="MS Gothic"/>
        <family val="2"/>
        <charset val="1"/>
      </rPr>
      <t xml:space="preserve">場 ≈ </t>
    </r>
    <r>
      <rPr>
        <sz val="10"/>
        <rFont val="Arial"/>
        <family val="0"/>
        <charset val="1"/>
      </rPr>
      <t xml:space="preserve">120 </t>
    </r>
    <r>
      <rPr>
        <sz val="10"/>
        <rFont val="MS Gothic"/>
        <family val="2"/>
        <charset val="1"/>
      </rPr>
      <t xml:space="preserve">萬、</t>
    </r>
    <r>
      <rPr>
        <sz val="10"/>
        <rFont val="Arial"/>
        <family val="0"/>
        <charset val="1"/>
      </rPr>
      <t xml:space="preserve">buffer 20%</t>
    </r>
    <r>
      <rPr>
        <sz val="10"/>
        <rFont val="MS Gothi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9 </t>
    </r>
    <r>
      <rPr>
        <sz val="10"/>
        <rFont val="MS Gothic"/>
        <family val="2"/>
        <charset val="1"/>
      </rPr>
      <t xml:space="preserve">場即破百萬，師生比</t>
    </r>
    <r>
      <rPr>
        <sz val="10"/>
        <rFont val="Arial"/>
        <family val="0"/>
        <charset val="1"/>
      </rPr>
      <t xml:space="preserve">/</t>
    </r>
    <r>
      <rPr>
        <sz val="10"/>
        <rFont val="MS Gothic"/>
        <family val="2"/>
        <charset val="1"/>
      </rPr>
      <t xml:space="preserve">場地代價小</t>
    </r>
  </si>
  <si>
    <r>
      <rPr>
        <sz val="10"/>
        <rFont val="Arial"/>
        <family val="0"/>
        <charset val="1"/>
      </rPr>
      <t xml:space="preserve">• 20 </t>
    </r>
    <r>
      <rPr>
        <sz val="10"/>
        <rFont val="MS Gothic"/>
        <family val="2"/>
        <charset val="1"/>
      </rPr>
      <t xml:space="preserve">人：</t>
    </r>
    <r>
      <rPr>
        <sz val="10"/>
        <rFont val="Arial"/>
        <family val="0"/>
        <charset val="1"/>
      </rPr>
      <t xml:space="preserve">buffer </t>
    </r>
    <r>
      <rPr>
        <sz val="10"/>
        <rFont val="MS Gothic"/>
        <family val="2"/>
        <charset val="1"/>
      </rPr>
      <t xml:space="preserve">最大但要驗場地容量 </t>
    </r>
    <r>
      <rPr>
        <sz val="10"/>
        <rFont val="Arial"/>
        <family val="0"/>
        <charset val="1"/>
      </rPr>
      <t xml:space="preserve">+ </t>
    </r>
    <r>
      <rPr>
        <sz val="10"/>
        <rFont val="MS Gothic"/>
        <family val="2"/>
        <charset val="1"/>
      </rPr>
      <t xml:space="preserve">湊 </t>
    </r>
    <r>
      <rPr>
        <sz val="10"/>
        <rFont val="Arial"/>
        <family val="0"/>
        <charset val="1"/>
      </rPr>
      <t xml:space="preserve">8 </t>
    </r>
    <r>
      <rPr>
        <sz val="10"/>
        <rFont val="MS Gothic"/>
        <family val="2"/>
        <charset val="1"/>
      </rPr>
      <t xml:space="preserve">講師 </t>
    </r>
    <r>
      <rPr>
        <sz val="10"/>
        <rFont val="Arial"/>
        <family val="0"/>
        <charset val="1"/>
      </rPr>
      <t xml:space="preserve">+ 20 </t>
    </r>
    <r>
      <rPr>
        <sz val="10"/>
        <rFont val="MS Gothic"/>
        <family val="2"/>
        <charset val="1"/>
      </rPr>
      <t xml:space="preserve">份個輔排程，訴求改口「</t>
    </r>
    <r>
      <rPr>
        <sz val="10"/>
        <rFont val="Arial"/>
        <family val="0"/>
        <charset val="1"/>
      </rPr>
      <t xml:space="preserve">20 </t>
    </r>
    <r>
      <rPr>
        <sz val="10"/>
        <rFont val="MS Gothic"/>
        <family val="2"/>
        <charset val="1"/>
      </rPr>
      <t xml:space="preserve">人班」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</si>
</sst>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;\-"/>
    <numFmt numFmtId="167" formatCode="0%"/>
    <numFmt numFmtId="168" formatCode="0"/>
  </numFmts>
  <fonts count="16">
    <font>
      <sz val="11"/>
      <color theme="1"/>
      <name val="MS Gothi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MS Gothic"/>
      <family val="2"/>
      <charset val="1"/>
    </font>
    <font>
      <sz val="9"/>
      <color rgb="FF737373"/>
      <name val="MS Gothic"/>
      <family val="2"/>
      <charset val="1"/>
    </font>
    <font>
      <b val="true"/>
      <sz val="11"/>
      <color rgb="FFFFFFFF"/>
      <name val="MS Gothic"/>
      <family val="2"/>
      <charset val="1"/>
    </font>
    <font>
      <b val="true"/>
      <sz val="11"/>
      <name val="MS Gothic"/>
      <family val="2"/>
      <charset val="1"/>
    </font>
    <font>
      <sz val="11"/>
      <name val="MS Gothic"/>
      <family val="2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737373"/>
      <name val="Arial"/>
      <family val="0"/>
      <charset val="1"/>
    </font>
    <font>
      <sz val="10"/>
      <name val="Arial"/>
      <family val="0"/>
      <charset val="1"/>
    </font>
    <font>
      <sz val="10"/>
      <name val="MS Gothi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2C4D6B"/>
        <bgColor rgb="FF333333"/>
      </patternFill>
    </fill>
    <fill>
      <patternFill patternType="solid">
        <fgColor rgb="FFEAF0F6"/>
        <bgColor rgb="FFE5F0E5"/>
      </patternFill>
    </fill>
    <fill>
      <patternFill patternType="solid">
        <fgColor rgb="FFFFF8D6"/>
        <bgColor rgb="FFFFFFFF"/>
      </patternFill>
    </fill>
    <fill>
      <patternFill patternType="solid">
        <fgColor rgb="FFE5F0E5"/>
        <bgColor rgb="FFEAF0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6E4"/>
      </left>
      <right style="thin">
        <color rgb="FFC9D6E4"/>
      </right>
      <top style="thin">
        <color rgb="FFC9D6E4"/>
      </top>
      <bottom style="thin">
        <color rgb="FFC9D6E4"/>
      </bottom>
      <diagonal/>
    </border>
    <border diagonalUp="false" diagonalDown="false">
      <left style="thin">
        <color rgb="FFC9D6E4"/>
      </left>
      <right/>
      <top style="thin">
        <color rgb="FFC9D6E4"/>
      </top>
      <bottom style="thin">
        <color rgb="FFC9D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373"/>
      <rgbColor rgb="FF9999FF"/>
      <rgbColor rgb="FF993366"/>
      <rgbColor rgb="FFFFF8D6"/>
      <rgbColor rgb="FFEAF0F6"/>
      <rgbColor rgb="FF660066"/>
      <rgbColor rgb="FFFF8080"/>
      <rgbColor rgb="FF0066CC"/>
      <rgbColor rgb="FFC9D6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4D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30.27"/>
    <col collapsed="false" customWidth="true" hidden="false" outlineLevel="0" max="4" min="2" style="1" width="16.15"/>
    <col collapsed="false" customWidth="true" hidden="false" outlineLevel="0" max="5" min="5" style="1" width="22.2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1.2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5" t="s">
        <v>7</v>
      </c>
    </row>
    <row r="6" customFormat="false" ht="15" hidden="false" customHeight="true" outlineLevel="0" collapsed="false">
      <c r="A6" s="7" t="s">
        <v>8</v>
      </c>
      <c r="B6" s="8" t="n">
        <v>0.35</v>
      </c>
      <c r="C6" s="9" t="n">
        <v>7200</v>
      </c>
      <c r="D6" s="10" t="n">
        <f aca="false">B6*C6</f>
        <v>2520</v>
      </c>
      <c r="E6" s="11" t="s">
        <v>9</v>
      </c>
    </row>
    <row r="7" customFormat="false" ht="15" hidden="false" customHeight="true" outlineLevel="0" collapsed="false">
      <c r="A7" s="7" t="s">
        <v>10</v>
      </c>
      <c r="B7" s="8" t="n">
        <v>0.27</v>
      </c>
      <c r="C7" s="9" t="n">
        <v>6000</v>
      </c>
      <c r="D7" s="10" t="n">
        <f aca="false">B7*C7</f>
        <v>1620</v>
      </c>
      <c r="E7" s="11" t="s">
        <v>11</v>
      </c>
    </row>
    <row r="8" customFormat="false" ht="15" hidden="false" customHeight="true" outlineLevel="0" collapsed="false">
      <c r="A8" s="7" t="s">
        <v>12</v>
      </c>
      <c r="B8" s="8" t="n">
        <v>0.18</v>
      </c>
      <c r="C8" s="9" t="n">
        <v>6500</v>
      </c>
      <c r="D8" s="10" t="n">
        <f aca="false">B8*C8</f>
        <v>1170</v>
      </c>
      <c r="E8" s="11" t="s">
        <v>13</v>
      </c>
    </row>
    <row r="9" customFormat="false" ht="15" hidden="false" customHeight="true" outlineLevel="0" collapsed="false">
      <c r="A9" s="12" t="s">
        <v>14</v>
      </c>
      <c r="B9" s="8" t="n">
        <v>0.2</v>
      </c>
      <c r="C9" s="9" t="n">
        <v>6750</v>
      </c>
      <c r="D9" s="10" t="n">
        <f aca="false">B9*C9</f>
        <v>1350</v>
      </c>
      <c r="E9" s="11" t="s">
        <v>15</v>
      </c>
    </row>
    <row r="10" customFormat="false" ht="15" hidden="false" customHeight="true" outlineLevel="0" collapsed="false">
      <c r="A10" s="5" t="s">
        <v>16</v>
      </c>
      <c r="B10" s="13" t="n">
        <f aca="false">SUM(B6:B9)</f>
        <v>1</v>
      </c>
      <c r="C10" s="14"/>
      <c r="D10" s="15" t="n">
        <f aca="false">SUM(D6:D9)</f>
        <v>6660</v>
      </c>
      <c r="E10" s="16" t="s">
        <v>17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</row>
    <row r="13" customFormat="false" ht="15" hidden="false" customHeight="true" outlineLevel="0" collapsed="false">
      <c r="A13" s="7" t="s">
        <v>19</v>
      </c>
      <c r="B13" s="9" t="n">
        <v>2400</v>
      </c>
      <c r="C13" s="17" t="s">
        <v>20</v>
      </c>
      <c r="D13" s="17"/>
      <c r="E13" s="17"/>
    </row>
    <row r="14" customFormat="false" ht="15" hidden="false" customHeight="true" outlineLevel="0" collapsed="false">
      <c r="A14" s="5" t="s">
        <v>21</v>
      </c>
      <c r="B14" s="18"/>
      <c r="C14" s="18"/>
      <c r="D14" s="18"/>
      <c r="E14" s="18"/>
    </row>
    <row r="15" customFormat="false" ht="15" hidden="false" customHeight="true" outlineLevel="0" collapsed="false">
      <c r="A15" s="12" t="s">
        <v>22</v>
      </c>
      <c r="B15" s="9" t="n">
        <v>9450</v>
      </c>
      <c r="C15" s="19"/>
      <c r="D15" s="19"/>
      <c r="E15" s="19"/>
    </row>
    <row r="16" customFormat="false" ht="15" hidden="false" customHeight="true" outlineLevel="0" collapsed="false">
      <c r="A16" s="7" t="s">
        <v>23</v>
      </c>
      <c r="B16" s="9" t="n">
        <v>2000</v>
      </c>
      <c r="C16" s="19"/>
      <c r="D16" s="19"/>
      <c r="E16" s="19"/>
    </row>
    <row r="17" customFormat="false" ht="15" hidden="false" customHeight="true" outlineLevel="0" collapsed="false">
      <c r="A17" s="7" t="s">
        <v>24</v>
      </c>
      <c r="B17" s="9" t="n">
        <v>3000</v>
      </c>
      <c r="C17" s="19"/>
      <c r="D17" s="19"/>
      <c r="E17" s="19"/>
    </row>
    <row r="18" customFormat="false" ht="15" hidden="false" customHeight="true" outlineLevel="0" collapsed="false">
      <c r="A18" s="7" t="s">
        <v>25</v>
      </c>
      <c r="B18" s="9" t="n">
        <v>4000</v>
      </c>
      <c r="C18" s="19"/>
      <c r="D18" s="19"/>
      <c r="E18" s="19"/>
    </row>
    <row r="19" customFormat="false" ht="15" hidden="false" customHeight="true" outlineLevel="0" collapsed="false">
      <c r="A19" s="7" t="s">
        <v>26</v>
      </c>
      <c r="B19" s="9" t="n">
        <v>5000</v>
      </c>
      <c r="C19" s="19"/>
      <c r="D19" s="19"/>
      <c r="E19" s="19"/>
    </row>
    <row r="20" customFormat="false" ht="15" hidden="false" customHeight="true" outlineLevel="0" collapsed="false">
      <c r="A20" s="7" t="s">
        <v>27</v>
      </c>
      <c r="B20" s="9" t="n">
        <v>440</v>
      </c>
      <c r="C20" s="19"/>
      <c r="D20" s="19"/>
      <c r="E20" s="19"/>
    </row>
    <row r="21" customFormat="false" ht="15" hidden="false" customHeight="true" outlineLevel="0" collapsed="false">
      <c r="A21" s="5" t="s">
        <v>28</v>
      </c>
      <c r="B21" s="15" t="n">
        <f aca="false">SUM(B15:B20)</f>
        <v>23890</v>
      </c>
      <c r="C21" s="18"/>
      <c r="D21" s="18"/>
      <c r="E21" s="18"/>
    </row>
    <row r="22" customFormat="false" ht="15" hidden="false" customHeight="true" outlineLevel="0" collapsed="false">
      <c r="A22" s="7" t="s">
        <v>29</v>
      </c>
      <c r="B22" s="9" t="n">
        <v>1000</v>
      </c>
      <c r="C22" s="19"/>
      <c r="D22" s="19"/>
      <c r="E22" s="19"/>
    </row>
    <row r="23" customFormat="false" ht="15" hidden="false" customHeight="true" outlineLevel="0" collapsed="false">
      <c r="A23" s="7" t="s">
        <v>30</v>
      </c>
      <c r="B23" s="9" t="n">
        <v>3000</v>
      </c>
      <c r="C23" s="19"/>
      <c r="D23" s="19"/>
      <c r="E23" s="19"/>
    </row>
    <row r="24" customFormat="false" ht="15" hidden="false" customHeight="true" outlineLevel="0" collapsed="false">
      <c r="A24" s="20" t="s">
        <v>31</v>
      </c>
      <c r="B24" s="9" t="n">
        <v>1000000</v>
      </c>
      <c r="C24" s="21" t="s">
        <v>32</v>
      </c>
      <c r="D24" s="21"/>
      <c r="E24" s="21"/>
    </row>
    <row r="25" customFormat="false" ht="15" hidden="false" customHeight="false" outlineLevel="0" collapsed="false">
      <c r="A25" s="1" t="s">
        <v>33</v>
      </c>
      <c r="B25" s="22" t="n">
        <v>0.05</v>
      </c>
      <c r="C25" s="1" t="s">
        <v>34</v>
      </c>
    </row>
    <row r="26" customFormat="false" ht="15" hidden="false" customHeight="true" outlineLevel="0" collapsed="false">
      <c r="A26" s="4" t="s">
        <v>35</v>
      </c>
      <c r="B26" s="4"/>
      <c r="C26" s="4"/>
      <c r="D26" s="4"/>
      <c r="E26" s="4"/>
    </row>
    <row r="27" customFormat="false" ht="15" hidden="false" customHeight="true" outlineLevel="0" collapsed="false">
      <c r="A27" s="5" t="s">
        <v>36</v>
      </c>
      <c r="B27" s="23" t="s">
        <v>37</v>
      </c>
      <c r="C27" s="24" t="s">
        <v>38</v>
      </c>
      <c r="D27" s="23" t="s">
        <v>39</v>
      </c>
      <c r="E27" s="14"/>
    </row>
    <row r="28" customFormat="false" ht="15" hidden="false" customHeight="true" outlineLevel="0" collapsed="false">
      <c r="A28" s="7" t="s">
        <v>40</v>
      </c>
      <c r="B28" s="25" t="n">
        <v>15</v>
      </c>
      <c r="C28" s="26" t="n">
        <v>18</v>
      </c>
      <c r="D28" s="25" t="n">
        <v>20</v>
      </c>
      <c r="E28" s="7"/>
    </row>
    <row r="29" customFormat="false" ht="15" hidden="false" customHeight="true" outlineLevel="0" collapsed="false">
      <c r="A29" s="7" t="s">
        <v>41</v>
      </c>
      <c r="B29" s="10" t="n">
        <f aca="false">B28*$D$10</f>
        <v>99900</v>
      </c>
      <c r="C29" s="27" t="n">
        <f aca="false">C28*$D$10</f>
        <v>119880</v>
      </c>
      <c r="D29" s="10" t="n">
        <f aca="false">D28*$D$10</f>
        <v>133200</v>
      </c>
      <c r="E29" s="11" t="s">
        <v>42</v>
      </c>
    </row>
    <row r="30" customFormat="false" ht="15" hidden="false" customHeight="true" outlineLevel="0" collapsed="false">
      <c r="A30" s="7" t="s">
        <v>43</v>
      </c>
      <c r="B30" s="10" t="n">
        <f aca="false">$B$21</f>
        <v>23890</v>
      </c>
      <c r="C30" s="27" t="n">
        <f aca="false">$B$21+$B$22</f>
        <v>24890</v>
      </c>
      <c r="D30" s="10" t="n">
        <f aca="false">$B$21+$B$23</f>
        <v>26890</v>
      </c>
      <c r="E30" s="7"/>
    </row>
    <row r="31" customFormat="false" ht="15" hidden="false" customHeight="true" outlineLevel="0" collapsed="false">
      <c r="A31" s="7" t="s">
        <v>44</v>
      </c>
      <c r="B31" s="10" t="n">
        <f aca="false">B28*$B$13</f>
        <v>36000</v>
      </c>
      <c r="C31" s="27" t="n">
        <f aca="false">C28*$B$13</f>
        <v>43200</v>
      </c>
      <c r="D31" s="10" t="n">
        <f aca="false">D28*$B$13</f>
        <v>48000</v>
      </c>
      <c r="E31" s="11" t="s">
        <v>45</v>
      </c>
    </row>
    <row r="32" customFormat="false" ht="15" hidden="false" customHeight="true" outlineLevel="0" collapsed="false">
      <c r="A32" s="7" t="s">
        <v>46</v>
      </c>
      <c r="B32" s="10" t="n">
        <f aca="false">B30+B31</f>
        <v>59890</v>
      </c>
      <c r="C32" s="27" t="n">
        <f aca="false">C30+C31</f>
        <v>68090</v>
      </c>
      <c r="D32" s="10" t="n">
        <f aca="false">D30+D31</f>
        <v>74890</v>
      </c>
      <c r="E32" s="7"/>
    </row>
    <row r="33" customFormat="false" ht="15" hidden="false" customHeight="true" outlineLevel="0" collapsed="false">
      <c r="A33" s="28" t="s">
        <v>47</v>
      </c>
      <c r="B33" s="29" t="n">
        <f aca="false">B29*$B$25/(1+$B$25)</f>
        <v>4757.14285714286</v>
      </c>
      <c r="C33" s="29" t="n">
        <f aca="false">C29*$B$25/(1+$B$25)</f>
        <v>5708.57142857143</v>
      </c>
      <c r="D33" s="29" t="n">
        <f aca="false">D29*$B$25/(1+$B$25)</f>
        <v>6342.85714285714</v>
      </c>
      <c r="E33" s="30" t="s">
        <v>48</v>
      </c>
    </row>
    <row r="34" customFormat="false" ht="15" hidden="false" customHeight="true" outlineLevel="0" collapsed="false">
      <c r="A34" s="20" t="s">
        <v>49</v>
      </c>
      <c r="B34" s="31" t="n">
        <f aca="false">B29-B32-B33</f>
        <v>35252.8571428571</v>
      </c>
      <c r="C34" s="32" t="n">
        <f aca="false">C29-C32-C33</f>
        <v>46081.4285714286</v>
      </c>
      <c r="D34" s="31" t="n">
        <f aca="false">D29-D32-D33</f>
        <v>51967.1428571429</v>
      </c>
      <c r="E34" s="7"/>
    </row>
    <row r="35" customFormat="false" ht="15" hidden="false" customHeight="true" outlineLevel="0" collapsed="false">
      <c r="A35" s="7" t="s">
        <v>50</v>
      </c>
      <c r="B35" s="33" t="n">
        <f aca="false">B34/B29</f>
        <v>0.352881452881453</v>
      </c>
      <c r="C35" s="34" t="n">
        <f aca="false">C34/C29</f>
        <v>0.384396301062968</v>
      </c>
      <c r="D35" s="33" t="n">
        <f aca="false">D34/D29</f>
        <v>0.390143715143715</v>
      </c>
      <c r="E35" s="7"/>
    </row>
    <row r="36" customFormat="false" ht="15" hidden="false" customHeight="true" outlineLevel="0" collapsed="false">
      <c r="A36" s="20" t="s">
        <v>51</v>
      </c>
      <c r="B36" s="35" t="n">
        <f aca="false">ROUNDUP($B$24/B29,0)</f>
        <v>11</v>
      </c>
      <c r="C36" s="36" t="n">
        <f aca="false">ROUNDUP($B$24/C29,0)</f>
        <v>9</v>
      </c>
      <c r="D36" s="35" t="n">
        <f aca="false">ROUNDUP($B$24/D29,0)</f>
        <v>8</v>
      </c>
      <c r="E36" s="11" t="s">
        <v>52</v>
      </c>
    </row>
    <row r="37" customFormat="false" ht="15" hidden="false" customHeight="true" outlineLevel="0" collapsed="false">
      <c r="A37" s="20" t="s">
        <v>53</v>
      </c>
      <c r="B37" s="31" t="n">
        <f aca="false">B29*10</f>
        <v>999000</v>
      </c>
      <c r="C37" s="32" t="n">
        <f aca="false">C29*10</f>
        <v>1198800</v>
      </c>
      <c r="D37" s="31" t="n">
        <f aca="false">D29*10</f>
        <v>1332000</v>
      </c>
      <c r="E37" s="7"/>
    </row>
    <row r="38" customFormat="false" ht="15" hidden="false" customHeight="false" outlineLevel="0" collapsed="false">
      <c r="A38" s="20" t="s">
        <v>54</v>
      </c>
      <c r="B38" s="31" t="n">
        <f aca="false">B34*10</f>
        <v>352528.571428572</v>
      </c>
      <c r="C38" s="32" t="n">
        <f aca="false">C34*10</f>
        <v>460814.285714286</v>
      </c>
      <c r="D38" s="31" t="n">
        <f aca="false">D34*10</f>
        <v>519671.428571429</v>
      </c>
      <c r="E38" s="7"/>
    </row>
    <row r="39" customFormat="false" ht="15" hidden="false" customHeight="true" outlineLevel="0" collapsed="false"/>
    <row r="40" customFormat="false" ht="12" hidden="false" customHeight="true" outlineLevel="0" collapsed="false">
      <c r="A40" s="4" t="s">
        <v>55</v>
      </c>
      <c r="B40" s="4"/>
      <c r="C40" s="4"/>
      <c r="D40" s="4"/>
      <c r="E40" s="4"/>
    </row>
    <row r="41" customFormat="false" ht="12" hidden="false" customHeight="true" outlineLevel="0" collapsed="false">
      <c r="A41" s="37" t="s">
        <v>56</v>
      </c>
      <c r="B41" s="37"/>
      <c r="C41" s="37"/>
      <c r="D41" s="37"/>
      <c r="E41" s="37"/>
    </row>
    <row r="42" customFormat="false" ht="12" hidden="false" customHeight="true" outlineLevel="0" collapsed="false">
      <c r="A42" s="37" t="s">
        <v>57</v>
      </c>
      <c r="B42" s="37"/>
      <c r="C42" s="37"/>
      <c r="D42" s="37"/>
      <c r="E42" s="37"/>
    </row>
    <row r="43" customFormat="false" ht="15" hidden="false" customHeight="false" outlineLevel="0" collapsed="false">
      <c r="A43" s="38" t="s">
        <v>58</v>
      </c>
    </row>
  </sheetData>
  <mergeCells count="17">
    <mergeCell ref="A1:E1"/>
    <mergeCell ref="A2:E2"/>
    <mergeCell ref="C13:E13"/>
    <mergeCell ref="B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2026-05-20T09:10:33Z</dcterms:created>
  <dc:creator>openpyxl</dc:creator>
  <dc:description/>
  <dc:language>zh-Hant</dc:language>
  <cp:lastModifiedBy/>
  <dcterms:modified xsi:type="dcterms:W3CDTF">2026-05-21T07:47:04Z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